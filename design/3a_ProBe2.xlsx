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ar\Desktop\3a doc\"/>
    </mc:Choice>
  </mc:AlternateContent>
  <xr:revisionPtr revIDLastSave="0" documentId="13_ncr:1_{9EB5704C-1DF7-4F89-BDBE-6FE249E878B1}" xr6:coauthVersionLast="47" xr6:coauthVersionMax="47" xr10:uidLastSave="{00000000-0000-0000-0000-000000000000}"/>
  <bookViews>
    <workbookView xWindow="-120" yWindow="-120" windowWidth="29040" windowHeight="15720" xr2:uid="{DE77F300-8EF1-40AD-8718-32D1941902D4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1" i="1"/>
  <c r="D7" i="1"/>
  <c r="C8" i="1"/>
  <c r="C9" i="1"/>
  <c r="B9" i="1"/>
  <c r="E43" i="1"/>
  <c r="E44" i="1"/>
  <c r="E45" i="1"/>
  <c r="E46" i="1"/>
  <c r="B8" i="1"/>
  <c r="E47" i="1"/>
  <c r="E48" i="1"/>
  <c r="C10" i="1"/>
  <c r="B10" i="1"/>
  <c r="E49" i="1"/>
  <c r="E50" i="1"/>
  <c r="E51" i="1"/>
  <c r="E52" i="1"/>
  <c r="E53" i="1"/>
  <c r="E42" i="1"/>
  <c r="H17" i="1"/>
  <c r="H21" i="1"/>
  <c r="I17" i="1"/>
  <c r="H18" i="1"/>
  <c r="H19" i="1"/>
  <c r="H20" i="1"/>
  <c r="G20" i="1"/>
  <c r="E34" i="1"/>
  <c r="E35" i="1"/>
  <c r="G19" i="1"/>
  <c r="H7" i="1"/>
  <c r="H11" i="1"/>
  <c r="I7" i="1"/>
  <c r="H8" i="1"/>
  <c r="H9" i="1"/>
  <c r="H10" i="1"/>
  <c r="G10" i="1"/>
  <c r="E26" i="1"/>
  <c r="G9" i="1"/>
  <c r="E28" i="1"/>
  <c r="E27" i="1"/>
  <c r="F26" i="1"/>
  <c r="F27" i="1"/>
  <c r="F28" i="1"/>
  <c r="F29" i="1"/>
  <c r="F34" i="1"/>
  <c r="F35" i="1"/>
  <c r="F37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G58" i="1"/>
  <c r="C21" i="1"/>
  <c r="C17" i="1"/>
  <c r="D17" i="1"/>
  <c r="C18" i="1"/>
  <c r="C19" i="1"/>
  <c r="C20" i="1"/>
  <c r="B20" i="1"/>
  <c r="B19" i="1"/>
  <c r="G18" i="1"/>
  <c r="B18" i="1"/>
  <c r="G8" i="1"/>
</calcChain>
</file>

<file path=xl/sharedStrings.xml><?xml version="1.0" encoding="utf-8"?>
<sst xmlns="http://schemas.openxmlformats.org/spreadsheetml/2006/main" count="121" uniqueCount="64">
  <si>
    <t>Valores a capturar</t>
  </si>
  <si>
    <t>Calculate the types with Fuzzy Logic Method</t>
  </si>
  <si>
    <t>Calculation</t>
  </si>
  <si>
    <t>Cálculos matemáticos</t>
  </si>
  <si>
    <t>Data</t>
  </si>
  <si>
    <t>Base de datos</t>
  </si>
  <si>
    <t>LOCs</t>
  </si>
  <si>
    <t>Log</t>
  </si>
  <si>
    <t>Factor</t>
  </si>
  <si>
    <t>VS</t>
  </si>
  <si>
    <t>S</t>
  </si>
  <si>
    <t>M</t>
  </si>
  <si>
    <t>L</t>
  </si>
  <si>
    <t>VL</t>
  </si>
  <si>
    <t>IO</t>
  </si>
  <si>
    <t>Lectura y escritura</t>
  </si>
  <si>
    <t>Logic</t>
  </si>
  <si>
    <t>Estructura lógica principal</t>
  </si>
  <si>
    <t>Estimated Reuse</t>
  </si>
  <si>
    <t>Object</t>
  </si>
  <si>
    <t>Description</t>
  </si>
  <si>
    <t>Size</t>
  </si>
  <si>
    <t>Number</t>
  </si>
  <si>
    <t>LOC</t>
  </si>
  <si>
    <t>Total</t>
  </si>
  <si>
    <t>Input</t>
  </si>
  <si>
    <t>Clase que lee un archivo con los datos de entrada.</t>
  </si>
  <si>
    <t>Clase que almacena temporalmente los datos.</t>
  </si>
  <si>
    <t>Output</t>
  </si>
  <si>
    <t>Clase que escribe los resultados en un archivo txt.</t>
  </si>
  <si>
    <t>Reuse TOTAL LOC</t>
  </si>
  <si>
    <t>Estimated Size, BASE</t>
  </si>
  <si>
    <t>App</t>
  </si>
  <si>
    <t xml:space="preserve"> Clase principal que ejecuta el programa.</t>
  </si>
  <si>
    <t xml:space="preserve"> Clase que controla todo el proceso (leer, calcular y escribir).</t>
  </si>
  <si>
    <t>Base TOTAL LOC</t>
  </si>
  <si>
    <t>Estimated Size, Add</t>
  </si>
  <si>
    <t>sumX</t>
  </si>
  <si>
    <t>Calcula la suma de todos los valores X.</t>
  </si>
  <si>
    <t>sumY</t>
  </si>
  <si>
    <t>Calcula la suma de los valores Y.</t>
  </si>
  <si>
    <t>sumXX</t>
  </si>
  <si>
    <t>Calcula la suma de X*X.</t>
  </si>
  <si>
    <t>sumXY</t>
  </si>
  <si>
    <t>Calcula la suma de X*Y.</t>
  </si>
  <si>
    <t>sumYY</t>
  </si>
  <si>
    <t>Calcula la suma de Y*Y.</t>
  </si>
  <si>
    <t>avgX</t>
  </si>
  <si>
    <t>Calcula el promedio de X.</t>
  </si>
  <si>
    <t>avgY</t>
  </si>
  <si>
    <t>Calcula el promedio de Y.</t>
  </si>
  <si>
    <t>B1</t>
  </si>
  <si>
    <t>Calcula la pendiente de la regresión.</t>
  </si>
  <si>
    <t>B0</t>
  </si>
  <si>
    <t>Calcula la intersección.</t>
  </si>
  <si>
    <t>yk</t>
  </si>
  <si>
    <t>Calcula el coeficiente de correlación.</t>
  </si>
  <si>
    <t>R</t>
  </si>
  <si>
    <t>Calcula la predicción para un valor Xk.</t>
  </si>
  <si>
    <t>RR</t>
  </si>
  <si>
    <t>Cálculo auxiliar relacionado con R.</t>
  </si>
  <si>
    <t xml:space="preserve"> </t>
  </si>
  <si>
    <t>TOTAL LOC estimated</t>
  </si>
  <si>
    <t>TOTAL 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</si>
</sst>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49"/>
        <bgColor indexed="40"/>
      </patternFill>
    </fill>
    <fill>
      <patternFill patternType="solid">
        <fgColor indexed="19"/>
        <bgColor indexed="23"/>
      </patternFill>
    </fill>
    <fill>
      <patternFill patternType="solid">
        <fgColor indexed="39"/>
        <bgColor indexed="12"/>
      </patternFill>
    </fill>
    <fill>
      <patternFill patternType="solid">
        <fgColor indexed="12"/>
        <bgColor indexed="39"/>
      </patternFill>
    </fill>
  </fills>
  <borders count="1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3" fillId="4" borderId="6" xfId="0" applyFont="1" applyFill="1" applyBorder="1"/>
    <xf numFmtId="0" fontId="0" fillId="0" borderId="7" xfId="0" applyBorder="1"/>
    <xf numFmtId="0" fontId="3" fillId="2" borderId="8" xfId="0" applyFont="1" applyFill="1" applyBorder="1"/>
    <xf numFmtId="0" fontId="4" fillId="3" borderId="8" xfId="0" applyFont="1" applyFill="1" applyBorder="1"/>
    <xf numFmtId="0" fontId="0" fillId="0" borderId="9" xfId="0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5" borderId="1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24</xdr:row>
      <xdr:rowOff>19050</xdr:rowOff>
    </xdr:from>
    <xdr:to>
      <xdr:col>15</xdr:col>
      <xdr:colOff>19050</xdr:colOff>
      <xdr:row>67</xdr:row>
      <xdr:rowOff>171450</xdr:rowOff>
    </xdr:to>
    <xdr:pic>
      <xdr:nvPicPr>
        <xdr:cNvPr id="2" name="Imagen 1" descr="3a.jpg">
          <a:extLst>
            <a:ext uri="{FF2B5EF4-FFF2-40B4-BE49-F238E27FC236}">
              <a16:creationId xmlns:a16="http://schemas.microsoft.com/office/drawing/2014/main" id="{936D557D-9F79-4328-9113-A2679BFE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7550" y="4629150"/>
          <a:ext cx="7172325" cy="836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6348-DDFC-435B-9233-6F2F03611E4D}">
  <dimension ref="A2:I58"/>
  <sheetViews>
    <sheetView tabSelected="1" workbookViewId="0">
      <selection activeCell="G58" sqref="G58"/>
    </sheetView>
  </sheetViews>
  <sheetFormatPr baseColWidth="10" defaultRowHeight="15" x14ac:dyDescent="0.25"/>
  <cols>
    <col min="2" max="2" width="61.42578125" customWidth="1"/>
    <col min="3" max="3" width="25.42578125" customWidth="1"/>
    <col min="4" max="4" width="18.28515625" customWidth="1"/>
    <col min="5" max="5" width="16.28515625" customWidth="1"/>
    <col min="6" max="6" width="15.7109375" customWidth="1"/>
    <col min="7" max="7" width="21.140625" customWidth="1"/>
    <col min="8" max="8" width="19.85546875" customWidth="1"/>
    <col min="9" max="9" width="21.42578125" customWidth="1"/>
  </cols>
  <sheetData>
    <row r="2" spans="1:9" x14ac:dyDescent="0.25">
      <c r="C2" s="1" t="s">
        <v>0</v>
      </c>
      <c r="D2" s="2"/>
    </row>
    <row r="3" spans="1:9" x14ac:dyDescent="0.25">
      <c r="A3" s="3" t="s">
        <v>1</v>
      </c>
    </row>
    <row r="4" spans="1:9" ht="15.75" thickBot="1" x14ac:dyDescent="0.3">
      <c r="A4" s="3"/>
    </row>
    <row r="5" spans="1:9" x14ac:dyDescent="0.25">
      <c r="A5" s="4" t="s">
        <v>2</v>
      </c>
      <c r="B5" s="5" t="s">
        <v>3</v>
      </c>
      <c r="C5" s="6"/>
      <c r="D5" s="7"/>
      <c r="F5" s="4" t="s">
        <v>4</v>
      </c>
      <c r="G5" s="5" t="s">
        <v>5</v>
      </c>
      <c r="H5" s="6"/>
      <c r="I5" s="7"/>
    </row>
    <row r="6" spans="1:9" x14ac:dyDescent="0.25">
      <c r="A6" s="8"/>
      <c r="B6" s="9" t="s">
        <v>6</v>
      </c>
      <c r="C6" s="9" t="s">
        <v>7</v>
      </c>
      <c r="D6" s="10" t="s">
        <v>8</v>
      </c>
      <c r="F6" s="8"/>
      <c r="G6" s="9" t="s">
        <v>6</v>
      </c>
      <c r="H6" s="9" t="s">
        <v>7</v>
      </c>
      <c r="I6" s="10" t="s">
        <v>8</v>
      </c>
    </row>
    <row r="7" spans="1:9" x14ac:dyDescent="0.25">
      <c r="A7" s="11" t="s">
        <v>9</v>
      </c>
      <c r="B7" s="12">
        <v>5</v>
      </c>
      <c r="C7" s="13">
        <f>LOG10(B7)</f>
        <v>0.69897000433601886</v>
      </c>
      <c r="D7" s="14">
        <f>(C11-C7)/4</f>
        <v>0.1505149978319906</v>
      </c>
      <c r="F7" s="11" t="s">
        <v>9</v>
      </c>
      <c r="G7" s="12">
        <v>3</v>
      </c>
      <c r="H7" s="19">
        <f>LOG10(G7)</f>
        <v>0.47712125471966244</v>
      </c>
      <c r="I7" s="14">
        <f>(H11-H7)/4</f>
        <v>0.15051499783199063</v>
      </c>
    </row>
    <row r="8" spans="1:9" x14ac:dyDescent="0.25">
      <c r="A8" s="11" t="s">
        <v>10</v>
      </c>
      <c r="B8" s="9">
        <f>10^C8</f>
        <v>7.0710678118654782</v>
      </c>
      <c r="C8" s="9">
        <f>C7+D7</f>
        <v>0.84948500216800948</v>
      </c>
      <c r="D8" s="10"/>
      <c r="F8" s="11" t="s">
        <v>10</v>
      </c>
      <c r="G8" s="9">
        <f>10^H8</f>
        <v>4.2426406871192857</v>
      </c>
      <c r="H8" s="9">
        <f>H7+I7</f>
        <v>0.62763625255165301</v>
      </c>
      <c r="I8" s="10"/>
    </row>
    <row r="9" spans="1:9" x14ac:dyDescent="0.25">
      <c r="A9" s="11" t="s">
        <v>11</v>
      </c>
      <c r="B9" s="9">
        <f>10^C9</f>
        <v>10</v>
      </c>
      <c r="C9" s="9">
        <f>C8+D7</f>
        <v>1</v>
      </c>
      <c r="D9" s="10"/>
      <c r="F9" s="11" t="s">
        <v>11</v>
      </c>
      <c r="G9" s="9">
        <f>10^H9</f>
        <v>6.0000000000000009</v>
      </c>
      <c r="H9" s="9">
        <f>H8+I7</f>
        <v>0.77815125038364363</v>
      </c>
      <c r="I9" s="10"/>
    </row>
    <row r="10" spans="1:9" x14ac:dyDescent="0.25">
      <c r="A10" s="11" t="s">
        <v>12</v>
      </c>
      <c r="B10" s="9">
        <f>10^C10</f>
        <v>14.142135623730955</v>
      </c>
      <c r="C10" s="9">
        <f>C9+D7</f>
        <v>1.1505149978319906</v>
      </c>
      <c r="D10" s="10"/>
      <c r="F10" s="11" t="s">
        <v>12</v>
      </c>
      <c r="G10" s="9">
        <f>10^H10</f>
        <v>8.4852813742385749</v>
      </c>
      <c r="H10" s="9">
        <f>H9+I7</f>
        <v>0.92866624821563426</v>
      </c>
      <c r="I10" s="10"/>
    </row>
    <row r="11" spans="1:9" ht="15.75" thickBot="1" x14ac:dyDescent="0.3">
      <c r="A11" s="15" t="s">
        <v>13</v>
      </c>
      <c r="B11" s="16">
        <v>20</v>
      </c>
      <c r="C11" s="17">
        <f>LOG10(B11)</f>
        <v>1.3010299956639813</v>
      </c>
      <c r="D11" s="18"/>
      <c r="F11" s="15" t="s">
        <v>13</v>
      </c>
      <c r="G11" s="16">
        <v>12</v>
      </c>
      <c r="H11" s="20">
        <f>LOG10(G11)</f>
        <v>1.0791812460476249</v>
      </c>
      <c r="I11" s="18"/>
    </row>
    <row r="14" spans="1:9" ht="15.75" thickBot="1" x14ac:dyDescent="0.3"/>
    <row r="15" spans="1:9" x14ac:dyDescent="0.25">
      <c r="A15" s="4" t="s">
        <v>14</v>
      </c>
      <c r="B15" s="5" t="s">
        <v>15</v>
      </c>
      <c r="C15" s="6"/>
      <c r="D15" s="7"/>
      <c r="F15" s="4" t="s">
        <v>16</v>
      </c>
      <c r="G15" s="5" t="s">
        <v>17</v>
      </c>
      <c r="H15" s="6"/>
      <c r="I15" s="7"/>
    </row>
    <row r="16" spans="1:9" x14ac:dyDescent="0.25">
      <c r="A16" s="8"/>
      <c r="B16" s="9" t="s">
        <v>6</v>
      </c>
      <c r="C16" s="9" t="s">
        <v>7</v>
      </c>
      <c r="D16" s="10" t="s">
        <v>8</v>
      </c>
      <c r="F16" s="8"/>
      <c r="G16" s="9" t="s">
        <v>6</v>
      </c>
      <c r="H16" s="9" t="s">
        <v>7</v>
      </c>
      <c r="I16" s="10" t="s">
        <v>8</v>
      </c>
    </row>
    <row r="17" spans="1:9" x14ac:dyDescent="0.25">
      <c r="A17" s="11" t="s">
        <v>9</v>
      </c>
      <c r="B17" s="12">
        <v>10</v>
      </c>
      <c r="C17" s="19">
        <f>LOG10(B17)</f>
        <v>1</v>
      </c>
      <c r="D17" s="14">
        <f>(C21-C17)/4</f>
        <v>0.11928031367991559</v>
      </c>
      <c r="F17" s="11" t="s">
        <v>9</v>
      </c>
      <c r="G17" s="12">
        <v>10</v>
      </c>
      <c r="H17" s="19">
        <f>LOG10(G17)</f>
        <v>1</v>
      </c>
      <c r="I17" s="14">
        <f>(H21-H17)/4</f>
        <v>9.9485002168009429E-2</v>
      </c>
    </row>
    <row r="18" spans="1:9" x14ac:dyDescent="0.25">
      <c r="A18" s="11" t="s">
        <v>10</v>
      </c>
      <c r="B18" s="9">
        <f>10^C18</f>
        <v>13.160740129524932</v>
      </c>
      <c r="C18" s="9">
        <f>C17+D17</f>
        <v>1.1192803136799157</v>
      </c>
      <c r="D18" s="10"/>
      <c r="F18" s="11" t="s">
        <v>10</v>
      </c>
      <c r="G18" s="9">
        <f>10^H18</f>
        <v>12.574334296829354</v>
      </c>
      <c r="H18" s="9">
        <f>H17+I17</f>
        <v>1.0994850021680094</v>
      </c>
      <c r="I18" s="10"/>
    </row>
    <row r="19" spans="1:9" x14ac:dyDescent="0.25">
      <c r="A19" s="11" t="s">
        <v>11</v>
      </c>
      <c r="B19" s="9">
        <f>10^C19</f>
        <v>17.320508075688778</v>
      </c>
      <c r="C19" s="9">
        <f>C18+D17</f>
        <v>1.2385606273598313</v>
      </c>
      <c r="D19" s="10"/>
      <c r="F19" s="11" t="s">
        <v>11</v>
      </c>
      <c r="G19" s="9">
        <f>10^H19</f>
        <v>15.8113883008419</v>
      </c>
      <c r="H19" s="9">
        <f>H18+I17</f>
        <v>1.1989700043360187</v>
      </c>
      <c r="I19" s="10"/>
    </row>
    <row r="20" spans="1:9" x14ac:dyDescent="0.25">
      <c r="A20" s="11" t="s">
        <v>12</v>
      </c>
      <c r="B20" s="9">
        <f>10^C20</f>
        <v>22.795070569547793</v>
      </c>
      <c r="C20" s="9">
        <f>C19+D17</f>
        <v>1.357840941039747</v>
      </c>
      <c r="D20" s="10"/>
      <c r="F20" s="11" t="s">
        <v>12</v>
      </c>
      <c r="G20" s="9">
        <f>10^H20</f>
        <v>19.881768219176266</v>
      </c>
      <c r="H20" s="9">
        <f>H19+I17</f>
        <v>1.2984550065040281</v>
      </c>
      <c r="I20" s="10"/>
    </row>
    <row r="21" spans="1:9" ht="15.75" thickBot="1" x14ac:dyDescent="0.3">
      <c r="A21" s="15" t="s">
        <v>13</v>
      </c>
      <c r="B21" s="16">
        <v>30</v>
      </c>
      <c r="C21" s="20">
        <f>LOG10(B21)</f>
        <v>1.4771212547196624</v>
      </c>
      <c r="D21" s="18"/>
      <c r="F21" s="15" t="s">
        <v>13</v>
      </c>
      <c r="G21" s="16">
        <v>25</v>
      </c>
      <c r="H21" s="20">
        <f>LOG10(G21)</f>
        <v>1.3979400086720377</v>
      </c>
      <c r="I21" s="18"/>
    </row>
    <row r="23" spans="1:9" x14ac:dyDescent="0.25">
      <c r="A23" s="1" t="s">
        <v>18</v>
      </c>
      <c r="B23" s="9"/>
      <c r="C23" s="9"/>
      <c r="D23" s="9"/>
      <c r="E23" s="9"/>
      <c r="F23" s="9"/>
    </row>
    <row r="24" spans="1:9" x14ac:dyDescent="0.25">
      <c r="A24" s="9"/>
      <c r="B24" s="9"/>
      <c r="C24" s="9"/>
      <c r="D24" s="9"/>
      <c r="E24" s="9"/>
      <c r="F24" s="9"/>
    </row>
    <row r="25" spans="1:9" x14ac:dyDescent="0.25">
      <c r="A25" s="21" t="s">
        <v>19</v>
      </c>
      <c r="B25" s="21" t="s">
        <v>20</v>
      </c>
      <c r="C25" s="21" t="s">
        <v>21</v>
      </c>
      <c r="D25" s="21" t="s">
        <v>22</v>
      </c>
      <c r="E25" s="21" t="s">
        <v>23</v>
      </c>
      <c r="F25" s="21" t="s">
        <v>24</v>
      </c>
    </row>
    <row r="26" spans="1:9" x14ac:dyDescent="0.25">
      <c r="A26" s="9" t="s">
        <v>25</v>
      </c>
      <c r="B26" s="9" t="s">
        <v>26</v>
      </c>
      <c r="C26" s="9" t="s">
        <v>12</v>
      </c>
      <c r="D26" s="9">
        <v>1</v>
      </c>
      <c r="E26" s="9">
        <f>VLOOKUP(C26,$F$7:$G$11,2,FALSE)</f>
        <v>8.4852813742385749</v>
      </c>
      <c r="F26" s="9">
        <f>D26*E26</f>
        <v>8.4852813742385749</v>
      </c>
    </row>
    <row r="27" spans="1:9" x14ac:dyDescent="0.25">
      <c r="A27" s="9" t="s">
        <v>4</v>
      </c>
      <c r="B27" t="s">
        <v>27</v>
      </c>
      <c r="C27" s="9" t="s">
        <v>13</v>
      </c>
      <c r="D27" s="9">
        <v>1</v>
      </c>
      <c r="E27" s="9">
        <f>VLOOKUP(C27,$F$7:$G$11,2,FALSE)</f>
        <v>12</v>
      </c>
      <c r="F27" s="9">
        <f>D27*E27</f>
        <v>12</v>
      </c>
    </row>
    <row r="28" spans="1:9" x14ac:dyDescent="0.25">
      <c r="A28" s="9" t="s">
        <v>28</v>
      </c>
      <c r="B28" t="s">
        <v>29</v>
      </c>
      <c r="C28" s="9" t="s">
        <v>13</v>
      </c>
      <c r="D28" s="9">
        <v>1</v>
      </c>
      <c r="E28" s="9">
        <f>VLOOKUP(C28,$F$7:$G$11,2,FALSE)</f>
        <v>12</v>
      </c>
      <c r="F28" s="9">
        <f>D28*E28</f>
        <v>12</v>
      </c>
    </row>
    <row r="29" spans="1:9" x14ac:dyDescent="0.25">
      <c r="A29" s="9"/>
      <c r="B29" s="9"/>
      <c r="C29" s="9"/>
      <c r="D29" s="9"/>
      <c r="E29" s="9" t="s">
        <v>30</v>
      </c>
      <c r="F29" s="9">
        <f>SUM(F26:F28)</f>
        <v>32.485281374238575</v>
      </c>
    </row>
    <row r="30" spans="1:9" ht="15.75" thickBot="1" x14ac:dyDescent="0.3"/>
    <row r="31" spans="1:9" x14ac:dyDescent="0.25">
      <c r="A31" s="4" t="s">
        <v>31</v>
      </c>
      <c r="B31" s="6"/>
      <c r="C31" s="6"/>
      <c r="D31" s="6"/>
      <c r="E31" s="6"/>
      <c r="F31" s="7"/>
    </row>
    <row r="32" spans="1:9" x14ac:dyDescent="0.25">
      <c r="A32" s="11"/>
      <c r="B32" s="9"/>
      <c r="C32" s="9"/>
      <c r="D32" s="9"/>
      <c r="E32" s="9"/>
      <c r="F32" s="10"/>
    </row>
    <row r="33" spans="1:6" x14ac:dyDescent="0.25">
      <c r="A33" s="22" t="s">
        <v>19</v>
      </c>
      <c r="B33" s="21" t="s">
        <v>20</v>
      </c>
      <c r="C33" s="21" t="s">
        <v>21</v>
      </c>
      <c r="D33" s="21" t="s">
        <v>22</v>
      </c>
      <c r="E33" s="21" t="s">
        <v>23</v>
      </c>
      <c r="F33" s="23" t="s">
        <v>24</v>
      </c>
    </row>
    <row r="34" spans="1:6" x14ac:dyDescent="0.25">
      <c r="A34" s="11" t="s">
        <v>32</v>
      </c>
      <c r="B34" s="9" t="s">
        <v>33</v>
      </c>
      <c r="C34" s="9" t="s">
        <v>12</v>
      </c>
      <c r="D34" s="9">
        <v>1</v>
      </c>
      <c r="E34" s="9">
        <f>VLOOKUP(C34,$F$17:$G$21,2,FALSE)</f>
        <v>19.881768219176266</v>
      </c>
      <c r="F34" s="10">
        <f>D34*E34</f>
        <v>19.881768219176266</v>
      </c>
    </row>
    <row r="35" spans="1:6" x14ac:dyDescent="0.25">
      <c r="A35" s="11" t="s">
        <v>16</v>
      </c>
      <c r="B35" s="9" t="s">
        <v>34</v>
      </c>
      <c r="C35" s="9" t="s">
        <v>13</v>
      </c>
      <c r="D35" s="9">
        <v>1</v>
      </c>
      <c r="E35" s="9">
        <f>VLOOKUP(C35,$F$17:$G$21,2,FALSE)</f>
        <v>25</v>
      </c>
      <c r="F35" s="10">
        <f>D35*E35</f>
        <v>25</v>
      </c>
    </row>
    <row r="36" spans="1:6" x14ac:dyDescent="0.25">
      <c r="A36" s="11"/>
      <c r="B36" s="9"/>
      <c r="C36" s="9"/>
      <c r="D36" s="9"/>
      <c r="E36" s="9"/>
      <c r="F36" s="10"/>
    </row>
    <row r="37" spans="1:6" ht="15.75" thickBot="1" x14ac:dyDescent="0.3">
      <c r="A37" s="15"/>
      <c r="B37" s="24"/>
      <c r="C37" s="24"/>
      <c r="D37" s="24"/>
      <c r="E37" s="24" t="s">
        <v>35</v>
      </c>
      <c r="F37" s="25">
        <f>SUM(F34:F35)</f>
        <v>44.881768219176266</v>
      </c>
    </row>
    <row r="39" spans="1:6" x14ac:dyDescent="0.25">
      <c r="A39" s="1" t="s">
        <v>36</v>
      </c>
      <c r="B39" s="9"/>
      <c r="C39" s="9"/>
      <c r="D39" s="9"/>
      <c r="E39" s="9"/>
      <c r="F39" s="9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21" t="s">
        <v>19</v>
      </c>
      <c r="B41" s="21" t="s">
        <v>20</v>
      </c>
      <c r="C41" s="21" t="s">
        <v>21</v>
      </c>
      <c r="D41" s="21" t="s">
        <v>22</v>
      </c>
      <c r="E41" s="21" t="s">
        <v>23</v>
      </c>
      <c r="F41" s="21" t="s">
        <v>24</v>
      </c>
    </row>
    <row r="42" spans="1:6" x14ac:dyDescent="0.25">
      <c r="A42" s="9" t="s">
        <v>37</v>
      </c>
      <c r="B42" s="9" t="s">
        <v>38</v>
      </c>
      <c r="C42" s="9" t="s">
        <v>9</v>
      </c>
      <c r="D42" s="9">
        <v>1</v>
      </c>
      <c r="E42" s="9">
        <f>VLOOKUP(C42, $A$7:$B$11, 2, FALSE)</f>
        <v>5</v>
      </c>
      <c r="F42" s="9">
        <f t="shared" ref="F42:F53" si="0">D42*E42</f>
        <v>5</v>
      </c>
    </row>
    <row r="43" spans="1:6" x14ac:dyDescent="0.25">
      <c r="A43" s="9" t="s">
        <v>39</v>
      </c>
      <c r="B43" s="9" t="s">
        <v>40</v>
      </c>
      <c r="C43" s="9" t="s">
        <v>9</v>
      </c>
      <c r="D43" s="9">
        <v>1</v>
      </c>
      <c r="E43" s="9">
        <f>VLOOKUP(C43, $A$7:$B$11, 2, FALSE)</f>
        <v>5</v>
      </c>
      <c r="F43" s="9">
        <f t="shared" si="0"/>
        <v>5</v>
      </c>
    </row>
    <row r="44" spans="1:6" x14ac:dyDescent="0.25">
      <c r="A44" s="9" t="s">
        <v>41</v>
      </c>
      <c r="B44" s="9" t="s">
        <v>42</v>
      </c>
      <c r="C44" s="9" t="s">
        <v>9</v>
      </c>
      <c r="D44" s="9">
        <v>1</v>
      </c>
      <c r="E44" s="9">
        <f t="shared" ref="E44:E53" si="1">VLOOKUP(C44, $A$7:$B$11, 2, FALSE)</f>
        <v>5</v>
      </c>
      <c r="F44" s="9">
        <f t="shared" si="0"/>
        <v>5</v>
      </c>
    </row>
    <row r="45" spans="1:6" x14ac:dyDescent="0.25">
      <c r="A45" s="9" t="s">
        <v>43</v>
      </c>
      <c r="B45" s="9" t="s">
        <v>44</v>
      </c>
      <c r="C45" s="9" t="s">
        <v>9</v>
      </c>
      <c r="D45" s="9">
        <v>1</v>
      </c>
      <c r="E45" s="9">
        <f t="shared" si="1"/>
        <v>5</v>
      </c>
      <c r="F45" s="9">
        <f t="shared" si="0"/>
        <v>5</v>
      </c>
    </row>
    <row r="46" spans="1:6" x14ac:dyDescent="0.25">
      <c r="A46" s="9" t="s">
        <v>45</v>
      </c>
      <c r="B46" s="9" t="s">
        <v>46</v>
      </c>
      <c r="C46" s="9" t="s">
        <v>9</v>
      </c>
      <c r="D46" s="9">
        <v>1</v>
      </c>
      <c r="E46" s="9">
        <f t="shared" si="1"/>
        <v>5</v>
      </c>
      <c r="F46" s="9">
        <f t="shared" si="0"/>
        <v>5</v>
      </c>
    </row>
    <row r="47" spans="1:6" x14ac:dyDescent="0.25">
      <c r="A47" s="9" t="s">
        <v>47</v>
      </c>
      <c r="B47" s="9" t="s">
        <v>48</v>
      </c>
      <c r="C47" s="9" t="s">
        <v>10</v>
      </c>
      <c r="D47" s="9">
        <v>1</v>
      </c>
      <c r="E47" s="9">
        <f t="shared" si="1"/>
        <v>7.0710678118654782</v>
      </c>
      <c r="F47" s="9">
        <f t="shared" si="0"/>
        <v>7.0710678118654782</v>
      </c>
    </row>
    <row r="48" spans="1:6" x14ac:dyDescent="0.25">
      <c r="A48" s="9" t="s">
        <v>49</v>
      </c>
      <c r="B48" s="9" t="s">
        <v>50</v>
      </c>
      <c r="C48" s="9" t="s">
        <v>10</v>
      </c>
      <c r="D48" s="9">
        <v>1</v>
      </c>
      <c r="E48" s="9">
        <f t="shared" si="1"/>
        <v>7.0710678118654782</v>
      </c>
      <c r="F48" s="9">
        <f t="shared" si="0"/>
        <v>7.0710678118654782</v>
      </c>
    </row>
    <row r="49" spans="1:7" x14ac:dyDescent="0.25">
      <c r="A49" s="9" t="s">
        <v>51</v>
      </c>
      <c r="B49" s="9" t="s">
        <v>52</v>
      </c>
      <c r="C49" s="9" t="s">
        <v>13</v>
      </c>
      <c r="D49" s="9">
        <v>1</v>
      </c>
      <c r="E49" s="9">
        <f t="shared" si="1"/>
        <v>20</v>
      </c>
      <c r="F49" s="9">
        <f t="shared" si="0"/>
        <v>20</v>
      </c>
    </row>
    <row r="50" spans="1:7" x14ac:dyDescent="0.25">
      <c r="A50" s="9" t="s">
        <v>53</v>
      </c>
      <c r="B50" s="9" t="s">
        <v>54</v>
      </c>
      <c r="C50" s="9" t="s">
        <v>13</v>
      </c>
      <c r="D50" s="9">
        <v>1</v>
      </c>
      <c r="E50" s="9">
        <f t="shared" si="1"/>
        <v>20</v>
      </c>
      <c r="F50" s="9">
        <f t="shared" si="0"/>
        <v>20</v>
      </c>
    </row>
    <row r="51" spans="1:7" x14ac:dyDescent="0.25">
      <c r="A51" s="9" t="s">
        <v>55</v>
      </c>
      <c r="B51" s="9" t="s">
        <v>56</v>
      </c>
      <c r="C51" s="9" t="s">
        <v>10</v>
      </c>
      <c r="D51" s="9">
        <v>1</v>
      </c>
      <c r="E51" s="9">
        <f t="shared" si="1"/>
        <v>7.0710678118654782</v>
      </c>
      <c r="F51" s="9">
        <f t="shared" si="0"/>
        <v>7.0710678118654782</v>
      </c>
    </row>
    <row r="52" spans="1:7" x14ac:dyDescent="0.25">
      <c r="A52" s="9" t="s">
        <v>57</v>
      </c>
      <c r="B52" s="9" t="s">
        <v>58</v>
      </c>
      <c r="C52" s="9" t="s">
        <v>13</v>
      </c>
      <c r="D52" s="9">
        <v>1</v>
      </c>
      <c r="E52" s="9">
        <f t="shared" si="1"/>
        <v>20</v>
      </c>
      <c r="F52" s="9">
        <f t="shared" si="0"/>
        <v>20</v>
      </c>
    </row>
    <row r="53" spans="1:7" x14ac:dyDescent="0.25">
      <c r="A53" s="9" t="s">
        <v>59</v>
      </c>
      <c r="B53" s="9" t="s">
        <v>60</v>
      </c>
      <c r="C53" s="9" t="s">
        <v>10</v>
      </c>
      <c r="D53" s="9">
        <v>1</v>
      </c>
      <c r="E53" s="9">
        <f t="shared" si="1"/>
        <v>7.0710678118654782</v>
      </c>
      <c r="F53" s="9">
        <f t="shared" si="0"/>
        <v>7.0710678118654782</v>
      </c>
    </row>
    <row r="54" spans="1:7" x14ac:dyDescent="0.25">
      <c r="A54" s="9"/>
      <c r="B54" s="9"/>
      <c r="C54" s="9"/>
      <c r="D54" s="9"/>
      <c r="E54" s="9"/>
      <c r="F54" s="9"/>
    </row>
    <row r="55" spans="1:7" x14ac:dyDescent="0.25">
      <c r="A55" s="9"/>
      <c r="B55" s="9" t="s">
        <v>61</v>
      </c>
      <c r="C55" s="9"/>
      <c r="D55" s="9"/>
      <c r="E55" s="9" t="s">
        <v>62</v>
      </c>
      <c r="F55" s="1">
        <f>SUM(F42:F53)</f>
        <v>113.2842712474619</v>
      </c>
    </row>
    <row r="56" spans="1:7" x14ac:dyDescent="0.25">
      <c r="B56" s="26" t="s">
        <v>61</v>
      </c>
    </row>
    <row r="57" spans="1:7" x14ac:dyDescent="0.25">
      <c r="B57" s="26" t="s">
        <v>61</v>
      </c>
    </row>
    <row r="58" spans="1:7" x14ac:dyDescent="0.25">
      <c r="F58" s="27" t="s">
        <v>63</v>
      </c>
      <c r="G58" s="27">
        <f>F29+F37+F55</f>
        <v>190.65132084087674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 VIVANCO DIEGO NOE</dc:creator>
  <cp:lastModifiedBy>ROLDAN VIVANCO DIEGO NOE</cp:lastModifiedBy>
  <dcterms:created xsi:type="dcterms:W3CDTF">2025-11-24T02:21:42Z</dcterms:created>
  <dcterms:modified xsi:type="dcterms:W3CDTF">2025-11-24T03:19:31Z</dcterms:modified>
</cp:coreProperties>
</file>